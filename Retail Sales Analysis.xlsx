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HIL\Dropbox\SECOND PROJECT\"/>
    </mc:Choice>
  </mc:AlternateContent>
  <xr:revisionPtr revIDLastSave="0" documentId="13_ncr:1_{9DF9D237-470F-4682-BB7F-CC7F7FF12663}" xr6:coauthVersionLast="47" xr6:coauthVersionMax="47" xr10:uidLastSave="{00000000-0000-0000-0000-000000000000}"/>
  <bookViews>
    <workbookView xWindow="-108" yWindow="-108" windowWidth="23256" windowHeight="12456" tabRatio="1000" xr2:uid="{E59BFE01-DB64-4454-963B-6190F9471909}"/>
  </bookViews>
  <sheets>
    <sheet name="SALES DATA" sheetId="1" r:id="rId1"/>
    <sheet name="CUSTOMERS" sheetId="2" r:id="rId2"/>
    <sheet name="Pivot tables &amp; Charts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1" l="1"/>
  <c r="I15" i="1"/>
  <c r="H15" i="1"/>
  <c r="G15" i="1"/>
  <c r="K9" i="1"/>
  <c r="K8" i="1"/>
  <c r="K7" i="1"/>
  <c r="K6" i="1"/>
  <c r="K5" i="1"/>
  <c r="K4" i="1"/>
  <c r="K3" i="1"/>
  <c r="K2" i="1"/>
  <c r="J9" i="1"/>
  <c r="J8" i="1"/>
  <c r="J7" i="1"/>
  <c r="J6" i="1"/>
  <c r="J5" i="1"/>
  <c r="J4" i="1"/>
  <c r="J3" i="1"/>
  <c r="J2" i="1"/>
  <c r="D24" i="1"/>
  <c r="D23" i="1"/>
  <c r="D22" i="1"/>
  <c r="D21" i="1"/>
  <c r="D20" i="1"/>
  <c r="D19" i="1"/>
  <c r="D18" i="1"/>
  <c r="D17" i="1"/>
  <c r="C24" i="1"/>
  <c r="C23" i="1"/>
  <c r="C22" i="1"/>
  <c r="C21" i="1"/>
  <c r="C20" i="1"/>
  <c r="C19" i="1"/>
  <c r="C18" i="1"/>
  <c r="C17" i="1"/>
  <c r="B24" i="1"/>
  <c r="B23" i="1"/>
  <c r="B22" i="1"/>
  <c r="B21" i="1"/>
  <c r="B20" i="1"/>
  <c r="B19" i="1"/>
  <c r="B18" i="1"/>
  <c r="B17" i="1"/>
</calcChain>
</file>

<file path=xl/sharedStrings.xml><?xml version="1.0" encoding="utf-8"?>
<sst xmlns="http://schemas.openxmlformats.org/spreadsheetml/2006/main" count="100" uniqueCount="64">
  <si>
    <t>OrderID</t>
  </si>
  <si>
    <t>OrderDate</t>
  </si>
  <si>
    <t>CustomerID</t>
  </si>
  <si>
    <t>Product</t>
  </si>
  <si>
    <t>Category</t>
  </si>
  <si>
    <t>Region</t>
  </si>
  <si>
    <t>Quantity</t>
  </si>
  <si>
    <t>UnitPrice</t>
  </si>
  <si>
    <t>SalesAmount</t>
  </si>
  <si>
    <t>C101</t>
  </si>
  <si>
    <t>Laptop</t>
  </si>
  <si>
    <t>Electronics</t>
  </si>
  <si>
    <t>North</t>
  </si>
  <si>
    <t>C102</t>
  </si>
  <si>
    <t>Mobile</t>
  </si>
  <si>
    <t>South</t>
  </si>
  <si>
    <t>C103</t>
  </si>
  <si>
    <t>Chair</t>
  </si>
  <si>
    <t>Furniture</t>
  </si>
  <si>
    <t>East</t>
  </si>
  <si>
    <t>Table</t>
  </si>
  <si>
    <t>C104</t>
  </si>
  <si>
    <t>Headphones</t>
  </si>
  <si>
    <t>Accessories</t>
  </si>
  <si>
    <t>West</t>
  </si>
  <si>
    <t>C105</t>
  </si>
  <si>
    <t>Mouse</t>
  </si>
  <si>
    <t>C106</t>
  </si>
  <si>
    <t>CustomerName</t>
  </si>
  <si>
    <t>City</t>
  </si>
  <si>
    <t>CustomerType</t>
  </si>
  <si>
    <t>Rahul Sharma</t>
  </si>
  <si>
    <t>Delhi</t>
  </si>
  <si>
    <t>Regular</t>
  </si>
  <si>
    <t>Neha Verma</t>
  </si>
  <si>
    <t>Pune</t>
  </si>
  <si>
    <t>Premium</t>
  </si>
  <si>
    <t>Amit Singh</t>
  </si>
  <si>
    <t>Kolkata</t>
  </si>
  <si>
    <t>Pooja Patil</t>
  </si>
  <si>
    <t>Mumbai</t>
  </si>
  <si>
    <t>New</t>
  </si>
  <si>
    <t>Rohit Mehta</t>
  </si>
  <si>
    <t>Chennai</t>
  </si>
  <si>
    <t>Anjali Desai</t>
  </si>
  <si>
    <t>Ahmedabad</t>
  </si>
  <si>
    <t>Month</t>
  </si>
  <si>
    <t>Year</t>
  </si>
  <si>
    <t>Total Sales</t>
  </si>
  <si>
    <t>Customer Name</t>
  </si>
  <si>
    <t>Customer type</t>
  </si>
  <si>
    <t>Total sales</t>
  </si>
  <si>
    <t>Total Orders</t>
  </si>
  <si>
    <t>Average Order Value</t>
  </si>
  <si>
    <t>Total Quantity Sold</t>
  </si>
  <si>
    <t>Row Labels</t>
  </si>
  <si>
    <t>Grand Total</t>
  </si>
  <si>
    <t>Sum of SalesAmount</t>
  </si>
  <si>
    <t>Jan</t>
  </si>
  <si>
    <t>Mar</t>
  </si>
  <si>
    <t>May</t>
  </si>
  <si>
    <t>Jul</t>
  </si>
  <si>
    <t>Oct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</si>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</sst>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\-mmm\-yyyy;@"/>
    <numFmt numFmtId="165" formatCode="_ [$₹-4009]\ * #,##0.00_ ;_ [$₹-4009]\ * \-#,##0.00_ ;_ [$₹-4009]\ * &quot;-&quot;??_ ;_ 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0" borderId="0" xfId="0" applyFont="1" applyFill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165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5" xfId="0" applyNumberFormat="1" applyFont="1" applyFill="1" applyBorder="1" applyAlignment="1">
      <alignment horizontal="center" vertical="center"/>
    </xf>
    <xf numFmtId="165" fontId="1" fillId="0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65" fontId="0" fillId="0" borderId="3" xfId="1" applyNumberFormat="1" applyFont="1" applyBorder="1"/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165" fontId="0" fillId="0" borderId="9" xfId="1" applyNumberFormat="1" applyFont="1" applyBorder="1"/>
  </cellXfs>
  <cellStyles count="2">
    <cellStyle name="Currency" xfId="1" builtinId="4"/>
    <cellStyle name="Normal" xfId="0" builtinId="0"/>
  </cellStyles>
  <dxfs count="5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 [$₹-4009]\ * #,##0.00_ ;_ [$₹-4009]\ * \-#,##0.00_ ;_ [$₹-4009]\ * &quot;-&quot;??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 [$₹-4009]\ * #,##0.00_ ;_ [$₹-4009]\ * \-#,##0.00_ ;_ [$₹-4009]\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Analysis.xlsx]Pivot tables &amp; Charts!SALES BY CATEGORY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 &amp; Charts'!$C$6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 &amp; Charts'!$B$7:$B$10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 tables &amp; Charts'!$C$7:$C$10</c:f>
              <c:numCache>
                <c:formatCode>General</c:formatCode>
                <c:ptCount val="3"/>
                <c:pt idx="0">
                  <c:v>12000</c:v>
                </c:pt>
                <c:pt idx="1">
                  <c:v>169000</c:v>
                </c:pt>
                <c:pt idx="2">
                  <c:v>21500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C-495B-9664-FBF2F230A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010960"/>
        <c:axId val="436018160"/>
      </c:barChart>
      <c:catAx>
        <c:axId val="43601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018160"/>
        <c:crosses val="autoZero"/>
        <c:auto val="1"/>
        <c:lblAlgn val="ctr"/>
        <c:lblOffset val="100"/>
        <c:noMultiLvlLbl val="0"/>
      </c:catAx>
      <c:valAx>
        <c:axId val="43601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01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[Retail Sales Analysis.xlsx]Pivot tables &amp; Charts!MONTHLY SALES TREND</c:name>
    <c:fmtId val="3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2"/>
            </a:solidFill>
            <a:miter lim="800000"/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2"/>
            </a:solidFill>
            <a:miter lim="800000"/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2"/>
            </a:solidFill>
            <a:miter lim="800000"/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2"/>
            </a:solidFill>
            <a:miter lim="800000"/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 &amp; Charts'!$F$6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tables &amp; Charts'!$E$7:$E$13</c:f>
              <c:strCache>
                <c:ptCount val="6"/>
                <c:pt idx="0">
                  <c:v>Jan</c:v>
                </c:pt>
                <c:pt idx="1">
                  <c:v>Mar</c:v>
                </c:pt>
                <c:pt idx="2">
                  <c:v>May</c:v>
                </c:pt>
                <c:pt idx="3">
                  <c:v>Jul</c:v>
                </c:pt>
                <c:pt idx="4">
                  <c:v>Oct</c:v>
                </c:pt>
                <c:pt idx="5">
                  <c:v>Dec</c:v>
                </c:pt>
              </c:strCache>
            </c:strRef>
          </c:cat>
          <c:val>
            <c:numRef>
              <c:f>'Pivot tables &amp; Charts'!$F$7:$F$13</c:f>
              <c:numCache>
                <c:formatCode>General</c:formatCode>
                <c:ptCount val="6"/>
                <c:pt idx="0">
                  <c:v>81000</c:v>
                </c:pt>
                <c:pt idx="1">
                  <c:v>40000</c:v>
                </c:pt>
                <c:pt idx="2">
                  <c:v>13500</c:v>
                </c:pt>
                <c:pt idx="3">
                  <c:v>8000</c:v>
                </c:pt>
                <c:pt idx="4">
                  <c:v>8000</c:v>
                </c:pt>
                <c:pt idx="5">
                  <c:v>52000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3-4E2A-893B-C76C69473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008560"/>
        <c:axId val="436016720"/>
      </c:lineChart>
      <c:catAx>
        <c:axId val="43600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016720"/>
        <c:crosses val="autoZero"/>
        <c:auto val="1"/>
        <c:lblAlgn val="ctr"/>
        <c:lblOffset val="100"/>
        <c:noMultiLvlLbl val="0"/>
      </c:catAx>
      <c:valAx>
        <c:axId val="4360167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00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Analysis.xlsx]Pivot tables &amp; Charts!PivotTable3</c:name>
    <c:fmtId val="5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Charts'!$I$6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 &amp; Charts'!$H$7:$H$11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 &amp; Charts'!$I$7:$I$11</c:f>
              <c:numCache>
                <c:formatCode>General</c:formatCode>
                <c:ptCount val="4"/>
                <c:pt idx="0">
                  <c:v>17500</c:v>
                </c:pt>
                <c:pt idx="1">
                  <c:v>85000</c:v>
                </c:pt>
                <c:pt idx="2">
                  <c:v>92000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5-46AD-92E4-B11D0DD02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8059728"/>
        <c:axId val="448054928"/>
      </c:barChart>
      <c:catAx>
        <c:axId val="44805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054928"/>
        <c:crosses val="autoZero"/>
        <c:auto val="1"/>
        <c:lblAlgn val="ctr"/>
        <c:lblOffset val="100"/>
        <c:noMultiLvlLbl val="0"/>
      </c:catAx>
      <c:valAx>
        <c:axId val="44805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05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45720</xdr:rowOff>
    </xdr:from>
    <xdr:to>
      <xdr:col>5</xdr:col>
      <xdr:colOff>396240</xdr:colOff>
      <xdr:row>12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7ED79C1-9A70-8981-23DF-E2857FBCA119}"/>
            </a:ext>
          </a:extLst>
        </xdr:cNvPr>
        <xdr:cNvSpPr/>
      </xdr:nvSpPr>
      <xdr:spPr>
        <a:xfrm>
          <a:off x="0" y="1874520"/>
          <a:ext cx="4221480" cy="4114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/>
            <a:t>Validated business calculations to ensure data accuracy</a:t>
          </a:r>
          <a:endParaRPr lang="en-IN" sz="1100"/>
        </a:p>
      </xdr:txBody>
    </xdr:sp>
    <xdr:clientData/>
  </xdr:twoCellAnchor>
  <xdr:twoCellAnchor>
    <xdr:from>
      <xdr:col>5</xdr:col>
      <xdr:colOff>990600</xdr:colOff>
      <xdr:row>11</xdr:row>
      <xdr:rowOff>0</xdr:rowOff>
    </xdr:from>
    <xdr:to>
      <xdr:col>7</xdr:col>
      <xdr:colOff>83820</xdr:colOff>
      <xdr:row>12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330760-B490-A62E-6284-300764952016}"/>
            </a:ext>
          </a:extLst>
        </xdr:cNvPr>
        <xdr:cNvSpPr/>
      </xdr:nvSpPr>
      <xdr:spPr>
        <a:xfrm>
          <a:off x="5882640" y="2011680"/>
          <a:ext cx="1066800" cy="335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KPI's</a:t>
          </a:r>
        </a:p>
      </xdr:txBody>
    </xdr:sp>
    <xdr:clientData/>
  </xdr:twoCellAnchor>
  <xdr:twoCellAnchor>
    <xdr:from>
      <xdr:col>1</xdr:col>
      <xdr:colOff>0</xdr:colOff>
      <xdr:row>13</xdr:row>
      <xdr:rowOff>53340</xdr:rowOff>
    </xdr:from>
    <xdr:to>
      <xdr:col>2</xdr:col>
      <xdr:colOff>228600</xdr:colOff>
      <xdr:row>14</xdr:row>
      <xdr:rowOff>160020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5B51EF-0B6E-3925-ABFB-7E5958A2101E}"/>
            </a:ext>
          </a:extLst>
        </xdr:cNvPr>
        <xdr:cNvSpPr/>
      </xdr:nvSpPr>
      <xdr:spPr>
        <a:xfrm>
          <a:off x="868680" y="2430780"/>
          <a:ext cx="1242060" cy="2895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ANNUAL RESULT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11</xdr:row>
      <xdr:rowOff>53340</xdr:rowOff>
    </xdr:from>
    <xdr:to>
      <xdr:col>3</xdr:col>
      <xdr:colOff>403860</xdr:colOff>
      <xdr:row>21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30E905-09E4-2603-FD71-826B07EA4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0</xdr:row>
      <xdr:rowOff>106680</xdr:rowOff>
    </xdr:from>
    <xdr:to>
      <xdr:col>3</xdr:col>
      <xdr:colOff>899160</xdr:colOff>
      <xdr:row>2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DC5F10A-8DE6-155A-8704-5A6E9149ACB4}"/>
            </a:ext>
          </a:extLst>
        </xdr:cNvPr>
        <xdr:cNvSpPr/>
      </xdr:nvSpPr>
      <xdr:spPr>
        <a:xfrm>
          <a:off x="228600" y="106680"/>
          <a:ext cx="3688080" cy="335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/>
            <a:t>Used Pivot Tables for quick summarization and trend analysis</a:t>
          </a:r>
          <a:endParaRPr lang="en-IN" sz="1100"/>
        </a:p>
      </xdr:txBody>
    </xdr:sp>
    <xdr:clientData/>
  </xdr:twoCellAnchor>
  <xdr:twoCellAnchor>
    <xdr:from>
      <xdr:col>3</xdr:col>
      <xdr:colOff>975360</xdr:colOff>
      <xdr:row>13</xdr:row>
      <xdr:rowOff>76200</xdr:rowOff>
    </xdr:from>
    <xdr:to>
      <xdr:col>6</xdr:col>
      <xdr:colOff>182880</xdr:colOff>
      <xdr:row>25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75D68-BECE-4446-AD79-8E33BCB02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12</xdr:col>
      <xdr:colOff>251460</xdr:colOff>
      <xdr:row>23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C39263-F480-4781-866B-445B7AE40C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" refreshedDate="46005.195761226852" createdVersion="8" refreshedVersion="8" minRefreshableVersion="3" recordCount="8" xr:uid="{ED016A5E-22EF-4BEB-9410-34C4CF520A33}">
  <cacheSource type="worksheet">
    <worksheetSource ref="A1:K9" sheet="SALES DATA"/>
  </cacheSource>
  <cacheFields count="13">
    <cacheField name="OrderID" numFmtId="0">
      <sharedItems containsSemiMixedTypes="0" containsString="0" containsNumber="1" containsInteger="1" minValue="1001" maxValue="1008"/>
    </cacheField>
    <cacheField name="OrderDate" numFmtId="164">
      <sharedItems containsSemiMixedTypes="0" containsNonDate="0" containsDate="1" containsString="0" minDate="2024-01-01T00:00:00" maxDate="2024-12-02T00:00:00" count="8">
        <d v="2024-01-01T00:00:00"/>
        <d v="2024-03-01T00:00:00"/>
        <d v="2024-05-01T00:00:00"/>
        <d v="2024-07-01T00:00:00"/>
        <d v="2024-10-01T00:00:00"/>
        <d v="2024-12-01T00:00:00"/>
        <d v="2024-01-15T00:00:00"/>
        <d v="2024-01-18T00:00:00"/>
      </sharedItems>
      <fieldGroup par="12"/>
    </cacheField>
    <cacheField name="CustomerID" numFmtId="0">
      <sharedItems/>
    </cacheField>
    <cacheField name="Product" numFmtId="0">
      <sharedItems/>
    </cacheField>
    <cacheField name="Category" numFmtId="0">
      <sharedItems count="3">
        <s v="Electronics"/>
        <s v="Furniture"/>
        <s v="Accessories"/>
      </sharedItems>
    </cacheField>
    <cacheField name="Region" numFmtId="0">
      <sharedItems count="4">
        <s v="North"/>
        <s v="South"/>
        <s v="East"/>
        <s v="West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containsInteger="1" minValue="800" maxValue="55000"/>
    </cacheField>
    <cacheField name="SalesAmount" numFmtId="0">
      <sharedItems containsSemiMixedTypes="0" containsString="0" containsNumber="1" containsInteger="1" minValue="4000" maxValue="55000"/>
    </cacheField>
    <cacheField name="Customer Name" numFmtId="0">
      <sharedItems/>
    </cacheField>
    <cacheField name="Customer type" numFmtId="0">
      <sharedItems/>
    </cacheField>
    <cacheField name="Days (OrderDate)" numFmtId="0" databaseField="0">
      <fieldGroup base="1">
        <rangePr groupBy="days" startDate="2024-01-01T00:00:00" endDate="2024-12-02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/2024"/>
        </groupItems>
      </fieldGroup>
    </cacheField>
    <cacheField name="Months (OrderDate)" numFmtId="0" databaseField="0">
      <fieldGroup base="1">
        <rangePr groupBy="months" startDate="2024-01-01T00:00:00" endDate="2024-12-0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001"/>
    <x v="0"/>
    <s v="C101"/>
    <s v="Laptop"/>
    <x v="0"/>
    <x v="0"/>
    <n v="1"/>
    <n v="55000"/>
    <n v="55000"/>
    <s v="Rahul Sharma"/>
    <s v="Regular"/>
  </r>
  <r>
    <n v="1002"/>
    <x v="1"/>
    <s v="C102"/>
    <s v="Mobile"/>
    <x v="0"/>
    <x v="1"/>
    <n v="2"/>
    <n v="20000"/>
    <n v="40000"/>
    <s v="Neha Verma"/>
    <s v="Premium"/>
  </r>
  <r>
    <n v="1003"/>
    <x v="2"/>
    <s v="C103"/>
    <s v="Chair"/>
    <x v="1"/>
    <x v="2"/>
    <n v="3"/>
    <n v="4500"/>
    <n v="13500"/>
    <s v="Amit Singh"/>
    <s v="Regular"/>
  </r>
  <r>
    <n v="1004"/>
    <x v="3"/>
    <s v="C101"/>
    <s v="Table"/>
    <x v="1"/>
    <x v="0"/>
    <n v="1"/>
    <n v="8000"/>
    <n v="8000"/>
    <s v="Rahul Sharma"/>
    <s v="Regular"/>
  </r>
  <r>
    <n v="1005"/>
    <x v="4"/>
    <s v="C104"/>
    <s v="Headphones"/>
    <x v="2"/>
    <x v="3"/>
    <n v="4"/>
    <n v="2000"/>
    <n v="8000"/>
    <s v="Pooja Patil"/>
    <s v="New"/>
  </r>
  <r>
    <n v="1006"/>
    <x v="5"/>
    <s v="C105"/>
    <s v="Laptop"/>
    <x v="0"/>
    <x v="1"/>
    <n v="1"/>
    <n v="52000"/>
    <n v="52000"/>
    <s v="Rohit Mehta"/>
    <s v="Premium"/>
  </r>
  <r>
    <n v="1007"/>
    <x v="6"/>
    <s v="C102"/>
    <s v="Mouse"/>
    <x v="2"/>
    <x v="2"/>
    <n v="5"/>
    <n v="800"/>
    <n v="4000"/>
    <s v="Neha Verma"/>
    <s v="Premium"/>
  </r>
  <r>
    <n v="1008"/>
    <x v="7"/>
    <s v="C106"/>
    <s v="Mobile"/>
    <x v="0"/>
    <x v="0"/>
    <n v="1"/>
    <n v="22000"/>
    <n v="22000"/>
    <s v="Anjali Desai"/>
    <s v="Regul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0D90A-22AA-4CBF-A498-CE00A3818F9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5">
  <location ref="H6:I11" firstHeaderRow="1" firstDataRow="1" firstDataCol="1"/>
  <pivotFields count="13">
    <pivotField showAll="0"/>
    <pivotField numFmtId="164" showAll="0">
      <items count="9">
        <item x="0"/>
        <item x="6"/>
        <item x="7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Amount" fld="8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2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3319C-9AF8-48BE-8107-244DFDC1F7C9}" name="MONTHLY SALES TREN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E6:F13" firstHeaderRow="1" firstDataRow="1" firstDataCol="1"/>
  <pivotFields count="13">
    <pivotField showAll="0"/>
    <pivotField axis="axisRow" numFmtId="164" showAll="0">
      <items count="9">
        <item x="0"/>
        <item x="6"/>
        <item x="7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2"/>
    <field x="1"/>
  </rowFields>
  <rowItems count="7">
    <i>
      <x v="1"/>
    </i>
    <i>
      <x v="3"/>
    </i>
    <i>
      <x v="5"/>
    </i>
    <i>
      <x v="7"/>
    </i>
    <i>
      <x v="10"/>
    </i>
    <i>
      <x v="12"/>
    </i>
    <i t="grand">
      <x/>
    </i>
  </rowItems>
  <colItems count="1">
    <i/>
  </colItems>
  <dataFields count="1">
    <dataField name="Sum of SalesAmount" fld="8" baseField="0" baseItem="0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12" type="button" dataOnly="0" labelOnly="1" outline="0" axis="axisRow" fieldPosition="0"/>
    </format>
    <format dxfId="9">
      <pivotArea dataOnly="0" labelOnly="1" fieldPosition="0">
        <references count="1">
          <reference field="12" count="6">
            <x v="1"/>
            <x v="3"/>
            <x v="5"/>
            <x v="7"/>
            <x v="10"/>
            <x v="12"/>
          </reference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8E426-8CF8-42DF-A827-9F94603F76FA}" name="SALES BY 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B6:C10" firstHeaderRow="1" firstDataRow="1" firstDataCol="1"/>
  <pivotFields count="13">
    <pivotField showAll="0"/>
    <pivotField numFmtId="164" showAll="0">
      <items count="9">
        <item x="0"/>
        <item x="6"/>
        <item x="7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Amount" fld="8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5AB109-92A6-4B2D-A37D-2D4AF0E5480F}" name="Table1" displayName="Table1" ref="A1:K9" totalsRowShown="0" headerRowDxfId="48" dataDxfId="46" headerRowBorderDxfId="47" tableBorderDxfId="45" totalsRowBorderDxfId="44">
  <autoFilter ref="A1:K9" xr:uid="{B75AB109-92A6-4B2D-A37D-2D4AF0E5480F}"/>
  <tableColumns count="11">
    <tableColumn id="1" xr3:uid="{71D0F8F5-FEC9-4F6B-B6E7-140798E23CC4}" name="OrderID" dataDxfId="43"/>
    <tableColumn id="2" xr3:uid="{31CA8596-FEF7-47C1-A74F-632DC7FA2237}" name="OrderDate" dataDxfId="42"/>
    <tableColumn id="3" xr3:uid="{CFC1C62C-F245-48F4-A614-95A57435358A}" name="CustomerID" dataDxfId="41"/>
    <tableColumn id="4" xr3:uid="{F87D7F11-F9B9-4016-937C-9629BCAC0095}" name="Product" dataDxfId="40"/>
    <tableColumn id="5" xr3:uid="{7FC08C7E-46D7-4B2E-B0EC-98297137FCA5}" name="Category" dataDxfId="39"/>
    <tableColumn id="6" xr3:uid="{BEB7E513-3C0D-4E17-A96D-8B107A39A7C7}" name="Region" dataDxfId="38"/>
    <tableColumn id="7" xr3:uid="{54C14F3E-6AE9-4834-BCBE-B79EAC76956C}" name="Quantity" dataDxfId="37"/>
    <tableColumn id="8" xr3:uid="{5BAF3FEC-8E95-4C59-955C-E0DA4AE6C778}" name="UnitPrice" dataDxfId="36"/>
    <tableColumn id="9" xr3:uid="{65975E78-4AC5-4D3D-9E7A-9D90EC693D12}" name="SalesAmount" dataDxfId="35"/>
    <tableColumn id="10" xr3:uid="{73F452E8-FFE0-4B14-8E61-76D170FC9269}" name="Customer Name" dataDxfId="34">
      <calculatedColumnFormula>VLOOKUP(C2,CUSTOMERS!$B$4:$E$10,2,0)</calculatedColumnFormula>
    </tableColumn>
    <tableColumn id="11" xr3:uid="{9367550F-70B1-44E7-AF2A-2DDE7DB81817}" name="Customer type" dataDxfId="33">
      <calculatedColumnFormula>VLOOKUP('SALES DATA'!C2,CUSTOMERS!$B$4:$E$10,4,0)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2BDA98-E060-4CB3-A7AC-576C01633CCD}" name="Table3" displayName="Table3" ref="G14:J15" totalsRowShown="0" headerRowDxfId="32" headerRowBorderDxfId="31" tableBorderDxfId="30" totalsRowBorderDxfId="29">
  <autoFilter ref="G14:J15" xr:uid="{352BDA98-E060-4CB3-A7AC-576C01633CCD}"/>
  <tableColumns count="4">
    <tableColumn id="1" xr3:uid="{418E9901-AA5A-4EBE-AAE7-8D8959866565}" name="Total sales" dataDxfId="28">
      <calculatedColumnFormula>SUM(I2:I9)</calculatedColumnFormula>
    </tableColumn>
    <tableColumn id="2" xr3:uid="{F6ED904C-D615-485F-A0AC-8380C44D767A}" name="Total Orders" dataDxfId="27">
      <calculatedColumnFormula>COUNT(G2:G9)</calculatedColumnFormula>
    </tableColumn>
    <tableColumn id="3" xr3:uid="{1F709F7F-B21F-4A8D-8B6B-F1DDA961C91B}" name="Average Order Value" dataDxfId="26">
      <calculatedColumnFormula>AVERAGE(I2:I9)</calculatedColumnFormula>
    </tableColumn>
    <tableColumn id="4" xr3:uid="{9A4B6FA1-34AA-4B95-882E-CB8771B48AAF}" name="Total Quantity Sold" dataDxfId="25">
      <calculatedColumnFormula>SUM(G2:G9)</calculatedColumnFormula>
    </tableColumn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0FF295-1BB5-4E26-AB7D-1233F01637C7}" name="Table4" displayName="Table4" ref="B16:D24" totalsRowShown="0" headerRowDxfId="24" headerRowBorderDxfId="23" tableBorderDxfId="22" totalsRowBorderDxfId="21">
  <autoFilter ref="B16:D24" xr:uid="{B30FF295-1BB5-4E26-AB7D-1233F01637C7}"/>
  <tableColumns count="3">
    <tableColumn id="1" xr3:uid="{FD16A997-E584-4FC7-AA19-4669AA7725F1}" name="Month" dataDxfId="20">
      <calculatedColumnFormula>TEXT(B2,"mmm")</calculatedColumnFormula>
    </tableColumn>
    <tableColumn id="2" xr3:uid="{7857B4EC-BF32-452D-B25B-5EC55F24C6C4}" name="Year" dataDxfId="19">
      <calculatedColumnFormula>YEAR(B2)</calculatedColumnFormula>
    </tableColumn>
    <tableColumn id="3" xr3:uid="{8CC76C96-FE2B-4040-82BB-81F8670BDB0C}" name="Total Sales" dataDxfId="18" dataCellStyle="Currency">
      <calculatedColumnFormula>G2*H2</calculatedColumnFormula>
    </tableColumn>
  </tableColumns>
  <tableStyleInfo name="TableStyleDark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82DA89-0D6F-435C-9D97-695D5C587A38}" name="Table2" displayName="Table2" ref="B4:E10" totalsRowShown="0" headerRowDxfId="56" headerRowBorderDxfId="55" tableBorderDxfId="54" totalsRowBorderDxfId="53">
  <autoFilter ref="B4:E10" xr:uid="{6A82DA89-0D6F-435C-9D97-695D5C587A38}"/>
  <tableColumns count="4">
    <tableColumn id="1" xr3:uid="{E8891FBF-FD64-446B-8EA4-18B144F22C85}" name="CustomerID" dataDxfId="52"/>
    <tableColumn id="2" xr3:uid="{C2F9EBAB-BB00-4518-BCC5-DBC60F7F748F}" name="CustomerName" dataDxfId="51"/>
    <tableColumn id="3" xr3:uid="{07738DF2-0D3D-4004-8247-25BDF2971853}" name="City" dataDxfId="50"/>
    <tableColumn id="4" xr3:uid="{3FB5FC59-81BF-47BD-82DF-BB14CD372FCB}" name="CustomerType" dataDxfId="4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D9D8-AB0E-4436-884C-38CB37E72D95}">
  <dimension ref="A1:K24"/>
  <sheetViews>
    <sheetView tabSelected="1" workbookViewId="0">
      <pane ySplit="1" topLeftCell="A2" activePane="bottomLeft" state="frozen"/>
      <selection activeCell="B1" sqref="B1"/>
      <selection pane="bottomLeft" activeCell="H22" sqref="H22"/>
    </sheetView>
  </sheetViews>
  <sheetFormatPr defaultRowHeight="14.4" x14ac:dyDescent="0.3"/>
  <cols>
    <col min="1" max="1" width="12.6640625" bestFit="1" customWidth="1"/>
    <col min="2" max="2" width="14.77734375" bestFit="1" customWidth="1"/>
    <col min="3" max="3" width="16" bestFit="1" customWidth="1"/>
    <col min="4" max="4" width="14.44140625" bestFit="1" customWidth="1"/>
    <col min="5" max="5" width="13.44140625" bestFit="1" customWidth="1"/>
    <col min="6" max="6" width="14.5546875" bestFit="1" customWidth="1"/>
    <col min="7" max="7" width="14.21875" bestFit="1" customWidth="1"/>
    <col min="8" max="8" width="15.5546875" bestFit="1" customWidth="1"/>
    <col min="9" max="9" width="22.33203125" bestFit="1" customWidth="1"/>
    <col min="10" max="10" width="21.21875" bestFit="1" customWidth="1"/>
    <col min="11" max="11" width="17.88671875" bestFit="1" customWidth="1"/>
    <col min="12" max="12" width="12.44140625" bestFit="1" customWidth="1"/>
    <col min="13" max="13" width="18.21875" bestFit="1" customWidth="1"/>
    <col min="14" max="14" width="17.5546875" bestFit="1" customWidth="1"/>
    <col min="15" max="15" width="16.77734375" bestFit="1" customWidth="1"/>
  </cols>
  <sheetData>
    <row r="1" spans="1:1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4" t="s">
        <v>49</v>
      </c>
      <c r="K1" s="15" t="s">
        <v>50</v>
      </c>
    </row>
    <row r="2" spans="1:11" x14ac:dyDescent="0.3">
      <c r="A2" s="10">
        <v>1001</v>
      </c>
      <c r="B2" s="4">
        <v>45292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</v>
      </c>
      <c r="H2" s="2">
        <v>55000</v>
      </c>
      <c r="I2" s="2">
        <v>55000</v>
      </c>
      <c r="J2" s="5" t="str">
        <f>VLOOKUP(C2,CUSTOMERS!$B$4:$E$10,2,0)</f>
        <v>Rahul Sharma</v>
      </c>
      <c r="K2" s="11" t="str">
        <f>VLOOKUP('SALES DATA'!C2,CUSTOMERS!$B$4:$E$10,4,0)</f>
        <v>Regular</v>
      </c>
    </row>
    <row r="3" spans="1:11" x14ac:dyDescent="0.3">
      <c r="A3" s="10">
        <v>1002</v>
      </c>
      <c r="B3" s="4">
        <v>45352</v>
      </c>
      <c r="C3" s="2" t="s">
        <v>13</v>
      </c>
      <c r="D3" s="2" t="s">
        <v>14</v>
      </c>
      <c r="E3" s="2" t="s">
        <v>11</v>
      </c>
      <c r="F3" s="2" t="s">
        <v>15</v>
      </c>
      <c r="G3" s="2">
        <v>2</v>
      </c>
      <c r="H3" s="2">
        <v>20000</v>
      </c>
      <c r="I3" s="2">
        <v>40000</v>
      </c>
      <c r="J3" s="5" t="str">
        <f>VLOOKUP(C3,CUSTOMERS!$B$4:$E$10,2,0)</f>
        <v>Neha Verma</v>
      </c>
      <c r="K3" s="11" t="str">
        <f>VLOOKUP('SALES DATA'!C3,CUSTOMERS!$B$4:$E$10,4,0)</f>
        <v>Premium</v>
      </c>
    </row>
    <row r="4" spans="1:11" x14ac:dyDescent="0.3">
      <c r="A4" s="10">
        <v>1003</v>
      </c>
      <c r="B4" s="4">
        <v>45413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3</v>
      </c>
      <c r="H4" s="2">
        <v>4500</v>
      </c>
      <c r="I4" s="2">
        <v>13500</v>
      </c>
      <c r="J4" s="5" t="str">
        <f>VLOOKUP(C4,CUSTOMERS!$B$4:$E$10,2,0)</f>
        <v>Amit Singh</v>
      </c>
      <c r="K4" s="11" t="str">
        <f>VLOOKUP('SALES DATA'!C4,CUSTOMERS!$B$4:$E$10,4,0)</f>
        <v>Regular</v>
      </c>
    </row>
    <row r="5" spans="1:11" x14ac:dyDescent="0.3">
      <c r="A5" s="10">
        <v>1004</v>
      </c>
      <c r="B5" s="4">
        <v>45474</v>
      </c>
      <c r="C5" s="2" t="s">
        <v>9</v>
      </c>
      <c r="D5" s="2" t="s">
        <v>20</v>
      </c>
      <c r="E5" s="2" t="s">
        <v>18</v>
      </c>
      <c r="F5" s="2" t="s">
        <v>12</v>
      </c>
      <c r="G5" s="2">
        <v>1</v>
      </c>
      <c r="H5" s="2">
        <v>8000</v>
      </c>
      <c r="I5" s="2">
        <v>8000</v>
      </c>
      <c r="J5" s="5" t="str">
        <f>VLOOKUP(C5,CUSTOMERS!$B$4:$E$10,2,0)</f>
        <v>Rahul Sharma</v>
      </c>
      <c r="K5" s="11" t="str">
        <f>VLOOKUP('SALES DATA'!C5,CUSTOMERS!$B$4:$E$10,4,0)</f>
        <v>Regular</v>
      </c>
    </row>
    <row r="6" spans="1:11" x14ac:dyDescent="0.3">
      <c r="A6" s="10">
        <v>1005</v>
      </c>
      <c r="B6" s="4">
        <v>45566</v>
      </c>
      <c r="C6" s="2" t="s">
        <v>21</v>
      </c>
      <c r="D6" s="2" t="s">
        <v>22</v>
      </c>
      <c r="E6" s="2" t="s">
        <v>23</v>
      </c>
      <c r="F6" s="2" t="s">
        <v>24</v>
      </c>
      <c r="G6" s="2">
        <v>4</v>
      </c>
      <c r="H6" s="2">
        <v>2000</v>
      </c>
      <c r="I6" s="2">
        <v>8000</v>
      </c>
      <c r="J6" s="5" t="str">
        <f>VLOOKUP(C6,CUSTOMERS!$B$4:$E$10,2,0)</f>
        <v>Pooja Patil</v>
      </c>
      <c r="K6" s="11" t="str">
        <f>VLOOKUP('SALES DATA'!C6,CUSTOMERS!$B$4:$E$10,4,0)</f>
        <v>New</v>
      </c>
    </row>
    <row r="7" spans="1:11" x14ac:dyDescent="0.3">
      <c r="A7" s="10">
        <v>1006</v>
      </c>
      <c r="B7" s="4">
        <v>45627</v>
      </c>
      <c r="C7" s="2" t="s">
        <v>25</v>
      </c>
      <c r="D7" s="2" t="s">
        <v>10</v>
      </c>
      <c r="E7" s="2" t="s">
        <v>11</v>
      </c>
      <c r="F7" s="2" t="s">
        <v>15</v>
      </c>
      <c r="G7" s="2">
        <v>1</v>
      </c>
      <c r="H7" s="2">
        <v>52000</v>
      </c>
      <c r="I7" s="2">
        <v>52000</v>
      </c>
      <c r="J7" s="5" t="str">
        <f>VLOOKUP(C7,CUSTOMERS!$B$4:$E$10,2,0)</f>
        <v>Rohit Mehta</v>
      </c>
      <c r="K7" s="11" t="str">
        <f>VLOOKUP('SALES DATA'!C7,CUSTOMERS!$B$4:$E$10,4,0)</f>
        <v>Premium</v>
      </c>
    </row>
    <row r="8" spans="1:11" x14ac:dyDescent="0.3">
      <c r="A8" s="10">
        <v>1007</v>
      </c>
      <c r="B8" s="4">
        <v>45306</v>
      </c>
      <c r="C8" s="2" t="s">
        <v>13</v>
      </c>
      <c r="D8" s="2" t="s">
        <v>26</v>
      </c>
      <c r="E8" s="2" t="s">
        <v>23</v>
      </c>
      <c r="F8" s="2" t="s">
        <v>19</v>
      </c>
      <c r="G8" s="2">
        <v>5</v>
      </c>
      <c r="H8" s="2">
        <v>800</v>
      </c>
      <c r="I8" s="2">
        <v>4000</v>
      </c>
      <c r="J8" s="5" t="str">
        <f>VLOOKUP(C8,CUSTOMERS!$B$4:$E$10,2,0)</f>
        <v>Neha Verma</v>
      </c>
      <c r="K8" s="11" t="str">
        <f>VLOOKUP('SALES DATA'!C8,CUSTOMERS!$B$4:$E$10,4,0)</f>
        <v>Premium</v>
      </c>
    </row>
    <row r="9" spans="1:11" x14ac:dyDescent="0.3">
      <c r="A9" s="16">
        <v>1008</v>
      </c>
      <c r="B9" s="17">
        <v>45309</v>
      </c>
      <c r="C9" s="18" t="s">
        <v>27</v>
      </c>
      <c r="D9" s="18" t="s">
        <v>14</v>
      </c>
      <c r="E9" s="18" t="s">
        <v>11</v>
      </c>
      <c r="F9" s="18" t="s">
        <v>12</v>
      </c>
      <c r="G9" s="18">
        <v>1</v>
      </c>
      <c r="H9" s="18">
        <v>22000</v>
      </c>
      <c r="I9" s="18">
        <v>22000</v>
      </c>
      <c r="J9" s="19" t="str">
        <f>VLOOKUP(C9,CUSTOMERS!$B$4:$E$10,2,0)</f>
        <v>Anjali Desai</v>
      </c>
      <c r="K9" s="20" t="str">
        <f>VLOOKUP('SALES DATA'!C9,CUSTOMERS!$B$4:$E$10,4,0)</f>
        <v>Regular</v>
      </c>
    </row>
    <row r="10" spans="1:11" x14ac:dyDescent="0.3">
      <c r="J10" s="1"/>
    </row>
    <row r="14" spans="1:11" x14ac:dyDescent="0.3">
      <c r="G14" s="29" t="s">
        <v>51</v>
      </c>
      <c r="H14" s="30" t="s">
        <v>52</v>
      </c>
      <c r="I14" s="30" t="s">
        <v>53</v>
      </c>
      <c r="J14" s="31" t="s">
        <v>54</v>
      </c>
    </row>
    <row r="15" spans="1:11" x14ac:dyDescent="0.3">
      <c r="G15" s="16">
        <f>SUM(I2:I9)</f>
        <v>202500</v>
      </c>
      <c r="H15" s="18">
        <f>COUNT(G2:G9)</f>
        <v>8</v>
      </c>
      <c r="I15" s="18">
        <f>AVERAGE(I2:I9)</f>
        <v>25312.5</v>
      </c>
      <c r="J15" s="32">
        <f>SUM(G2:G9)</f>
        <v>18</v>
      </c>
    </row>
    <row r="16" spans="1:11" x14ac:dyDescent="0.3">
      <c r="B16" s="29" t="s">
        <v>46</v>
      </c>
      <c r="C16" s="35" t="s">
        <v>47</v>
      </c>
      <c r="D16" s="36" t="s">
        <v>48</v>
      </c>
    </row>
    <row r="17" spans="2:6" x14ac:dyDescent="0.3">
      <c r="B17" s="33" t="str">
        <f t="shared" ref="B17:B24" si="0">TEXT(B2,"mmm")</f>
        <v>Jan</v>
      </c>
      <c r="C17" s="5">
        <f t="shared" ref="C17:C24" si="1">YEAR(B2)</f>
        <v>2024</v>
      </c>
      <c r="D17" s="34">
        <f t="shared" ref="D17:D24" si="2">G2*H2</f>
        <v>55000</v>
      </c>
      <c r="F17" s="6"/>
    </row>
    <row r="18" spans="2:6" x14ac:dyDescent="0.3">
      <c r="B18" s="33" t="str">
        <f t="shared" si="0"/>
        <v>Mar</v>
      </c>
      <c r="C18" s="5">
        <f t="shared" si="1"/>
        <v>2024</v>
      </c>
      <c r="D18" s="34">
        <f t="shared" si="2"/>
        <v>40000</v>
      </c>
    </row>
    <row r="19" spans="2:6" x14ac:dyDescent="0.3">
      <c r="B19" s="33" t="str">
        <f t="shared" si="0"/>
        <v>May</v>
      </c>
      <c r="C19" s="5">
        <f t="shared" si="1"/>
        <v>2024</v>
      </c>
      <c r="D19" s="34">
        <f t="shared" si="2"/>
        <v>13500</v>
      </c>
    </row>
    <row r="20" spans="2:6" x14ac:dyDescent="0.3">
      <c r="B20" s="33" t="str">
        <f t="shared" si="0"/>
        <v>Jul</v>
      </c>
      <c r="C20" s="5">
        <f t="shared" si="1"/>
        <v>2024</v>
      </c>
      <c r="D20" s="34">
        <f t="shared" si="2"/>
        <v>8000</v>
      </c>
    </row>
    <row r="21" spans="2:6" x14ac:dyDescent="0.3">
      <c r="B21" s="33" t="str">
        <f t="shared" si="0"/>
        <v>Oct</v>
      </c>
      <c r="C21" s="5">
        <f t="shared" si="1"/>
        <v>2024</v>
      </c>
      <c r="D21" s="34">
        <f t="shared" si="2"/>
        <v>8000</v>
      </c>
    </row>
    <row r="22" spans="2:6" x14ac:dyDescent="0.3">
      <c r="B22" s="33" t="str">
        <f t="shared" si="0"/>
        <v>Dec</v>
      </c>
      <c r="C22" s="5">
        <f t="shared" si="1"/>
        <v>2024</v>
      </c>
      <c r="D22" s="34">
        <f t="shared" si="2"/>
        <v>52000</v>
      </c>
    </row>
    <row r="23" spans="2:6" x14ac:dyDescent="0.3">
      <c r="B23" s="33" t="str">
        <f t="shared" si="0"/>
        <v>Jan</v>
      </c>
      <c r="C23" s="5">
        <f t="shared" si="1"/>
        <v>2024</v>
      </c>
      <c r="D23" s="34">
        <f t="shared" si="2"/>
        <v>4000</v>
      </c>
    </row>
    <row r="24" spans="2:6" x14ac:dyDescent="0.3">
      <c r="B24" s="37" t="str">
        <f t="shared" si="0"/>
        <v>Jan</v>
      </c>
      <c r="C24" s="19">
        <f t="shared" si="1"/>
        <v>2024</v>
      </c>
      <c r="D24" s="38">
        <f t="shared" si="2"/>
        <v>22000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B6B8-4142-4F08-847C-CA95B040A2D4}">
  <dimension ref="B4:E10"/>
  <sheetViews>
    <sheetView workbookViewId="0">
      <selection activeCell="I15" sqref="I15"/>
    </sheetView>
  </sheetViews>
  <sheetFormatPr defaultRowHeight="14.4" x14ac:dyDescent="0.3"/>
  <cols>
    <col min="1" max="1" width="15.109375" customWidth="1"/>
    <col min="2" max="3" width="18.6640625" bestFit="1" customWidth="1"/>
    <col min="4" max="4" width="10.6640625" bestFit="1" customWidth="1"/>
    <col min="5" max="5" width="16.44140625" bestFit="1" customWidth="1"/>
  </cols>
  <sheetData>
    <row r="4" spans="2:5" ht="28.8" x14ac:dyDescent="0.3">
      <c r="B4" s="23" t="s">
        <v>2</v>
      </c>
      <c r="C4" s="24" t="s">
        <v>28</v>
      </c>
      <c r="D4" s="24" t="s">
        <v>29</v>
      </c>
      <c r="E4" s="25" t="s">
        <v>30</v>
      </c>
    </row>
    <row r="5" spans="2:5" x14ac:dyDescent="0.3">
      <c r="B5" s="21" t="s">
        <v>9</v>
      </c>
      <c r="C5" s="3" t="s">
        <v>31</v>
      </c>
      <c r="D5" s="3" t="s">
        <v>32</v>
      </c>
      <c r="E5" s="22" t="s">
        <v>33</v>
      </c>
    </row>
    <row r="6" spans="2:5" x14ac:dyDescent="0.3">
      <c r="B6" s="21" t="s">
        <v>13</v>
      </c>
      <c r="C6" s="3" t="s">
        <v>34</v>
      </c>
      <c r="D6" s="3" t="s">
        <v>35</v>
      </c>
      <c r="E6" s="22" t="s">
        <v>36</v>
      </c>
    </row>
    <row r="7" spans="2:5" x14ac:dyDescent="0.3">
      <c r="B7" s="21" t="s">
        <v>16</v>
      </c>
      <c r="C7" s="3" t="s">
        <v>37</v>
      </c>
      <c r="D7" s="3" t="s">
        <v>38</v>
      </c>
      <c r="E7" s="22" t="s">
        <v>33</v>
      </c>
    </row>
    <row r="8" spans="2:5" x14ac:dyDescent="0.3">
      <c r="B8" s="21" t="s">
        <v>21</v>
      </c>
      <c r="C8" s="3" t="s">
        <v>39</v>
      </c>
      <c r="D8" s="3" t="s">
        <v>40</v>
      </c>
      <c r="E8" s="22" t="s">
        <v>41</v>
      </c>
    </row>
    <row r="9" spans="2:5" x14ac:dyDescent="0.3">
      <c r="B9" s="21" t="s">
        <v>25</v>
      </c>
      <c r="C9" s="3" t="s">
        <v>42</v>
      </c>
      <c r="D9" s="3" t="s">
        <v>43</v>
      </c>
      <c r="E9" s="22" t="s">
        <v>36</v>
      </c>
    </row>
    <row r="10" spans="2:5" x14ac:dyDescent="0.3">
      <c r="B10" s="26" t="s">
        <v>27</v>
      </c>
      <c r="C10" s="27" t="s">
        <v>44</v>
      </c>
      <c r="D10" s="27" t="s">
        <v>45</v>
      </c>
      <c r="E10" s="28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9EBA-C69E-45FA-BAC8-288693A13FB6}">
  <dimension ref="B6:I13"/>
  <sheetViews>
    <sheetView zoomScaleNormal="100" workbookViewId="0">
      <selection activeCell="F3" sqref="F3"/>
    </sheetView>
  </sheetViews>
  <sheetFormatPr defaultRowHeight="14.4" x14ac:dyDescent="0.3"/>
  <cols>
    <col min="2" max="2" width="15" bestFit="1" customWidth="1"/>
    <col min="3" max="3" width="18.21875" bestFit="1" customWidth="1"/>
    <col min="4" max="4" width="22.5546875" customWidth="1"/>
    <col min="5" max="5" width="13.33203125" bestFit="1" customWidth="1"/>
    <col min="6" max="6" width="35.44140625" customWidth="1"/>
    <col min="7" max="7" width="14.5546875" customWidth="1"/>
    <col min="8" max="8" width="16.88671875" bestFit="1" customWidth="1"/>
    <col min="9" max="9" width="18.21875" bestFit="1" customWidth="1"/>
  </cols>
  <sheetData>
    <row r="6" spans="2:9" x14ac:dyDescent="0.3">
      <c r="B6" s="7" t="s">
        <v>55</v>
      </c>
      <c r="C6" s="5" t="s">
        <v>57</v>
      </c>
      <c r="E6" s="7" t="s">
        <v>55</v>
      </c>
      <c r="F6" s="5" t="s">
        <v>57</v>
      </c>
      <c r="H6" s="5" t="s">
        <v>55</v>
      </c>
      <c r="I6" s="5" t="s">
        <v>57</v>
      </c>
    </row>
    <row r="7" spans="2:9" x14ac:dyDescent="0.3">
      <c r="B7" s="8" t="s">
        <v>23</v>
      </c>
      <c r="C7" s="9">
        <v>12000</v>
      </c>
      <c r="E7" s="8" t="s">
        <v>58</v>
      </c>
      <c r="F7" s="9">
        <v>81000</v>
      </c>
      <c r="H7" s="5" t="s">
        <v>19</v>
      </c>
      <c r="I7" s="5">
        <v>17500</v>
      </c>
    </row>
    <row r="8" spans="2:9" x14ac:dyDescent="0.3">
      <c r="B8" s="8" t="s">
        <v>11</v>
      </c>
      <c r="C8" s="9">
        <v>169000</v>
      </c>
      <c r="E8" s="8" t="s">
        <v>59</v>
      </c>
      <c r="F8" s="9">
        <v>40000</v>
      </c>
      <c r="H8" s="5" t="s">
        <v>12</v>
      </c>
      <c r="I8" s="5">
        <v>85000</v>
      </c>
    </row>
    <row r="9" spans="2:9" x14ac:dyDescent="0.3">
      <c r="B9" s="8" t="s">
        <v>18</v>
      </c>
      <c r="C9" s="9">
        <v>21500</v>
      </c>
      <c r="E9" s="8" t="s">
        <v>60</v>
      </c>
      <c r="F9" s="9">
        <v>13500</v>
      </c>
      <c r="H9" s="5" t="s">
        <v>15</v>
      </c>
      <c r="I9" s="5">
        <v>92000</v>
      </c>
    </row>
    <row r="10" spans="2:9" x14ac:dyDescent="0.3">
      <c r="B10" s="8" t="s">
        <v>56</v>
      </c>
      <c r="C10" s="9">
        <v>202500</v>
      </c>
      <c r="E10" s="8" t="s">
        <v>61</v>
      </c>
      <c r="F10" s="9">
        <v>8000</v>
      </c>
      <c r="H10" s="5" t="s">
        <v>24</v>
      </c>
      <c r="I10" s="5">
        <v>8000</v>
      </c>
    </row>
    <row r="11" spans="2:9" x14ac:dyDescent="0.3">
      <c r="E11" s="8" t="s">
        <v>62</v>
      </c>
      <c r="F11" s="9">
        <v>8000</v>
      </c>
      <c r="H11" s="5" t="s">
        <v>56</v>
      </c>
      <c r="I11" s="5">
        <v>202500</v>
      </c>
    </row>
    <row r="12" spans="2:9" x14ac:dyDescent="0.3">
      <c r="E12" s="8" t="s">
        <v>63</v>
      </c>
      <c r="F12" s="9">
        <v>52000</v>
      </c>
    </row>
    <row r="13" spans="2:9" x14ac:dyDescent="0.3">
      <c r="E13" s="8" t="s">
        <v>56</v>
      </c>
      <c r="F13" s="9">
        <v>202500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CUSTOMERS</vt:lpstr>
      <vt:lpstr>Pivot tables &amp;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SAHIL</cp:lastModifiedBy>
  <dcterms:created xsi:type="dcterms:W3CDTF">2025-12-13T13:19:27Z</dcterms:created>
  <dcterms:modified xsi:type="dcterms:W3CDTF">2025-12-14T10:26:00Z</dcterms:modified>
</cp:coreProperties>
</file>